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uthierbassereau/Downloads/eb-jepa-2/"/>
    </mc:Choice>
  </mc:AlternateContent>
  <xr:revisionPtr revIDLastSave="0" documentId="8_{5B6C0E23-6064-C649-9CBB-AE41CA66055D}" xr6:coauthVersionLast="47" xr6:coauthVersionMax="47" xr10:uidLastSave="{00000000-0000-0000-0000-000000000000}"/>
  <bookViews>
    <workbookView xWindow="3980" yWindow="2680" windowWidth="28040" windowHeight="17440" xr2:uid="{ABFAD786-7BB8-A944-9529-E0AF6A4855B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9" i="1" l="1" a="1"/>
  <c r="G19" i="1" s="1"/>
  <c r="G20" i="1" a="1"/>
  <c r="G20" i="1" s="1"/>
  <c r="G21" i="1" a="1"/>
  <c r="G21" i="1" s="1"/>
  <c r="G22" i="1" a="1"/>
  <c r="G22" i="1" s="1"/>
  <c r="G23" i="1" a="1"/>
  <c r="G23" i="1" s="1"/>
  <c r="G24" i="1" a="1"/>
  <c r="G24" i="1" s="1"/>
  <c r="G5" i="1" a="1"/>
  <c r="G5" i="1" s="1"/>
  <c r="G9" i="1" a="1"/>
  <c r="G9" i="1" s="1"/>
  <c r="G8" i="1" a="1"/>
  <c r="G8" i="1" s="1"/>
  <c r="G6" i="1" a="1"/>
  <c r="G6" i="1" s="1"/>
  <c r="G10" i="1" a="1"/>
  <c r="G10" i="1" s="1"/>
  <c r="G7" i="1" a="1"/>
  <c r="G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<sst xmlns="http://schemas.openxmlformats.org/spreadsheetml/2006/main" count="29" uniqueCount="19">
  <si>
    <t>Name</t>
  </si>
  <si>
    <t>Baseline</t>
  </si>
  <si>
    <t>W_Cov=0</t>
  </si>
  <si>
    <t>AR LPIPS</t>
  </si>
  <si>
    <t>LPIPS @ 0.2 s</t>
  </si>
  <si>
    <t>LPIPS @ 1 s</t>
  </si>
  <si>
    <t>LPIPS @ 2 s</t>
  </si>
  <si>
    <t>W_Std=0</t>
  </si>
  <si>
    <t>W_Sim=0</t>
  </si>
  <si>
    <t>W_Idm=0</t>
  </si>
  <si>
    <t>Pred_Transformer</t>
  </si>
  <si>
    <t>Collapse (no reg term)</t>
  </si>
  <si>
    <t>Mean perf. Change</t>
  </si>
  <si>
    <t>Dinov3_Encoder</t>
  </si>
  <si>
    <t>Gap Clean/AR</t>
  </si>
  <si>
    <t>Collapse (no Reg term)</t>
  </si>
  <si>
    <t>Encoder Imp. (Dinov3)</t>
  </si>
  <si>
    <t>Predictor Imp. (Transf.)</t>
  </si>
  <si>
    <t>Baseline (EB-JEPA)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</si>
</sst>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9" formatCode="_(* #,##0.000_);_(* \(#,##0.000\);_(* &quot;-&quot;??_);_(@_)"/>
  </numFmts>
  <fonts count="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b/>
      <sz val="12"/>
      <color theme="9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 tint="-4.9989318521683403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0" xfId="0" applyFont="1"/>
    <xf numFmtId="0" fontId="2" fillId="0" borderId="1" xfId="0" applyFont="1" applyBorder="1"/>
    <xf numFmtId="0" fontId="0" fillId="2" borderId="0" xfId="0" applyFill="1" applyBorder="1"/>
    <xf numFmtId="169" fontId="0" fillId="0" borderId="0" xfId="1" applyNumberFormat="1" applyFont="1"/>
    <xf numFmtId="169" fontId="0" fillId="0" borderId="0" xfId="1" applyNumberFormat="1" applyFont="1" applyFill="1" applyBorder="1"/>
    <xf numFmtId="169" fontId="3" fillId="0" borderId="0" xfId="1" applyNumberFormat="1" applyFont="1" applyFill="1" applyBorder="1"/>
    <xf numFmtId="169" fontId="3" fillId="0" borderId="0" xfId="1" applyNumberFormat="1" applyFont="1"/>
    <xf numFmtId="169" fontId="4" fillId="0" borderId="0" xfId="1" applyNumberFormat="1" applyFont="1"/>
    <xf numFmtId="169" fontId="5" fillId="0" borderId="0" xfId="1" applyNumberFormat="1" applyFont="1"/>
    <xf numFmtId="0" fontId="0" fillId="0" borderId="0" xfId="0" applyFill="1"/>
    <xf numFmtId="169" fontId="0" fillId="0" borderId="0" xfId="1" applyNumberFormat="1" applyFont="1" applyFill="1"/>
    <xf numFmtId="0" fontId="0" fillId="0" borderId="1" xfId="0" applyBorder="1" applyAlignment="1">
      <alignment horizontal="center" vertical="center"/>
    </xf>
    <xf numFmtId="43" fontId="0" fillId="0" borderId="1" xfId="0" applyNumberFormat="1" applyBorder="1" applyAlignment="1">
      <alignment horizontal="center" vertical="center"/>
    </xf>
    <xf numFmtId="9" fontId="2" fillId="0" borderId="1" xfId="2" applyFont="1" applyFill="1" applyBorder="1" applyAlignment="1">
      <alignment horizontal="center" vertical="center"/>
    </xf>
    <xf numFmtId="0" fontId="2" fillId="3" borderId="1" xfId="0" applyFont="1" applyFill="1" applyBorder="1"/>
    <xf numFmtId="0" fontId="0" fillId="3" borderId="1" xfId="0" applyFill="1" applyBorder="1" applyAlignment="1">
      <alignment horizontal="center" vertical="center"/>
    </xf>
    <xf numFmtId="43" fontId="0" fillId="3" borderId="1" xfId="0" applyNumberFormat="1" applyFill="1" applyBorder="1" applyAlignment="1">
      <alignment horizontal="center" vertical="center"/>
    </xf>
    <xf numFmtId="9" fontId="3" fillId="3" borderId="1" xfId="2" applyFont="1" applyFill="1" applyBorder="1" applyAlignment="1">
      <alignment horizontal="center" vertical="center"/>
    </xf>
    <xf numFmtId="9" fontId="2" fillId="3" borderId="1" xfId="2" applyFont="1" applyFill="1" applyBorder="1" applyAlignment="1">
      <alignment horizontal="center" vertical="center"/>
    </xf>
    <xf numFmtId="0" fontId="2" fillId="0" borderId="0" xfId="0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A06044-2656-F046-AF73-43318B52D357}">
  <dimension ref="A1:G24"/>
  <sheetViews>
    <sheetView tabSelected="1" zoomScale="116" workbookViewId="0">
      <selection activeCell="G17" sqref="G17:G18"/>
    </sheetView>
  </sheetViews>
  <sheetFormatPr baseColWidth="10" defaultRowHeight="16" x14ac:dyDescent="0.2"/>
  <cols>
    <col min="1" max="1" width="16" customWidth="1"/>
    <col min="2" max="2" width="19.6640625" customWidth="1"/>
    <col min="3" max="3" width="15.1640625" customWidth="1"/>
    <col min="4" max="4" width="16.1640625" customWidth="1"/>
    <col min="5" max="5" width="13.1640625" customWidth="1"/>
    <col min="6" max="6" width="12.6640625" customWidth="1"/>
    <col min="7" max="7" width="17.1640625" customWidth="1"/>
  </cols>
  <sheetData>
    <row r="1" spans="1:7" x14ac:dyDescent="0.2">
      <c r="A1" s="1"/>
    </row>
    <row r="2" spans="1:7" x14ac:dyDescent="0.2">
      <c r="A2" s="2" t="s">
        <v>0</v>
      </c>
      <c r="B2" s="2" t="s">
        <v>3</v>
      </c>
      <c r="C2" s="2" t="s">
        <v>14</v>
      </c>
      <c r="D2" s="2" t="s">
        <v>4</v>
      </c>
      <c r="E2" s="2" t="s">
        <v>5</v>
      </c>
      <c r="F2" s="2" t="s">
        <v>6</v>
      </c>
      <c r="G2" s="2" t="s">
        <v>12</v>
      </c>
    </row>
    <row r="3" spans="1:7" x14ac:dyDescent="0.2">
      <c r="A3" s="10" t="s">
        <v>11</v>
      </c>
      <c r="B3" s="11">
        <v>0.57499999999999996</v>
      </c>
      <c r="C3" s="11">
        <v>2.5499999999999998E-2</v>
      </c>
      <c r="D3" s="11">
        <v>0.54900000000000004</v>
      </c>
      <c r="E3" s="11">
        <v>0.55000000000000004</v>
      </c>
      <c r="F3" s="11">
        <v>0.58699999999999997</v>
      </c>
      <c r="G3" s="12"/>
    </row>
    <row r="4" spans="1:7" x14ac:dyDescent="0.2">
      <c r="A4" s="3" t="s">
        <v>1</v>
      </c>
      <c r="B4" s="6">
        <v>0.47</v>
      </c>
      <c r="C4" s="5">
        <v>0.02</v>
      </c>
      <c r="D4" s="5">
        <v>0.44600000000000001</v>
      </c>
      <c r="E4" s="5">
        <v>0.44800000000000001</v>
      </c>
      <c r="F4" s="5">
        <v>0.48</v>
      </c>
      <c r="G4" s="13"/>
    </row>
    <row r="5" spans="1:7" x14ac:dyDescent="0.2">
      <c r="A5" t="s">
        <v>2</v>
      </c>
      <c r="B5" s="4">
        <v>0.50700000000000001</v>
      </c>
      <c r="C5" s="7">
        <v>0.01</v>
      </c>
      <c r="D5" s="4">
        <v>0.495</v>
      </c>
      <c r="E5" s="4">
        <v>0.497</v>
      </c>
      <c r="F5" s="4">
        <v>0.51200000000000001</v>
      </c>
      <c r="G5" s="14" cm="1">
        <f t="array" ref="G5">SUMPRODUCT(($B$4:$F$4-B5:F5)/$B$4:$F$4)/COLUMNS(B4:F4)</f>
        <v>2.7073891645199234E-2</v>
      </c>
    </row>
    <row r="6" spans="1:7" x14ac:dyDescent="0.2">
      <c r="A6" t="s">
        <v>7</v>
      </c>
      <c r="B6" s="8">
        <v>0.53</v>
      </c>
      <c r="C6" s="4">
        <v>8.9999999999999993E-3</v>
      </c>
      <c r="D6" s="8">
        <v>0.51900000000000002</v>
      </c>
      <c r="E6" s="8">
        <v>0.52</v>
      </c>
      <c r="F6" s="8">
        <v>0.53600000000000003</v>
      </c>
      <c r="G6" s="14" cm="1">
        <f t="array" ref="G6">SUMPRODUCT(($B$4:$F$4-B6:F6)/$B$4:$F$4)/COLUMNS(B4:F4)</f>
        <v>-3.743531378776155E-3</v>
      </c>
    </row>
    <row r="7" spans="1:7" x14ac:dyDescent="0.2">
      <c r="A7" t="s">
        <v>8</v>
      </c>
      <c r="B7" s="9">
        <v>0.46500000000000002</v>
      </c>
      <c r="C7" s="8">
        <v>2.5999999999999999E-2</v>
      </c>
      <c r="D7" s="9">
        <v>0.435</v>
      </c>
      <c r="E7" s="9">
        <v>0.438</v>
      </c>
      <c r="F7" s="4">
        <v>0.47799999999999998</v>
      </c>
      <c r="G7" s="14" cm="1">
        <f t="array" ref="G7">SUMPRODUCT(($B$4:$F$4-B7:F7)/$B$4:$F$4)/COLUMNS(B4:F4)</f>
        <v>-4.7641985951903894E-2</v>
      </c>
    </row>
    <row r="8" spans="1:7" x14ac:dyDescent="0.2">
      <c r="A8" t="s">
        <v>9</v>
      </c>
      <c r="B8" s="4">
        <v>0.47599999999999998</v>
      </c>
      <c r="C8" s="4">
        <v>2.1000000000000001E-2</v>
      </c>
      <c r="D8" s="4">
        <v>0.45</v>
      </c>
      <c r="E8" s="4">
        <v>0.45400000000000001</v>
      </c>
      <c r="F8" s="4">
        <v>0.48799999999999999</v>
      </c>
      <c r="G8" s="14" cm="1">
        <f t="array" ref="G8">SUMPRODUCT(($B$4:$F$4-B8:F8)/$B$4:$F$4)/COLUMNS(B4:F4)</f>
        <v>-2.0358818224360652E-2</v>
      </c>
    </row>
    <row r="9" spans="1:7" x14ac:dyDescent="0.2">
      <c r="A9" t="s">
        <v>13</v>
      </c>
      <c r="B9" s="4">
        <v>0.47799999999999998</v>
      </c>
      <c r="C9" s="4">
        <v>1.4200000000000001E-2</v>
      </c>
      <c r="D9" s="4">
        <v>0.45</v>
      </c>
      <c r="E9" s="4">
        <v>0.46600000000000003</v>
      </c>
      <c r="F9" s="4">
        <v>0.47499999999999998</v>
      </c>
      <c r="G9" s="14" cm="1">
        <f t="array" ref="G9">SUMPRODUCT(($B$4:$F$4-B9:F9)/$B$4:$F$4)/COLUMNS(B4:F4)</f>
        <v>4.6849641755375926E-2</v>
      </c>
    </row>
    <row r="10" spans="1:7" x14ac:dyDescent="0.2">
      <c r="A10" t="s">
        <v>10</v>
      </c>
      <c r="B10" s="4">
        <v>0.47599999999999998</v>
      </c>
      <c r="C10" s="9">
        <v>7.0000000000000001E-3</v>
      </c>
      <c r="D10" s="9">
        <v>0.435</v>
      </c>
      <c r="E10" s="9">
        <v>0.438</v>
      </c>
      <c r="F10" s="9">
        <v>0.45</v>
      </c>
      <c r="G10" s="14" cm="1">
        <f t="array" ref="G10">SUMPRODUCT(($B$4:$F$4-B10:F10)/$B$4:$F$4)/COLUMNS(B4:F4)</f>
        <v>0.14934382965093299</v>
      </c>
    </row>
    <row r="16" spans="1:7" x14ac:dyDescent="0.2">
      <c r="B16" s="2" t="s">
        <v>0</v>
      </c>
      <c r="C16" s="2" t="s">
        <v>14</v>
      </c>
      <c r="D16" s="2" t="s">
        <v>4</v>
      </c>
      <c r="E16" s="2" t="s">
        <v>5</v>
      </c>
      <c r="F16" s="2" t="s">
        <v>6</v>
      </c>
      <c r="G16" s="15" t="s">
        <v>12</v>
      </c>
    </row>
    <row r="17" spans="2:7" x14ac:dyDescent="0.2">
      <c r="B17" s="10" t="s">
        <v>15</v>
      </c>
      <c r="C17" s="11">
        <v>2.5499999999999998E-2</v>
      </c>
      <c r="D17" s="11">
        <v>0.54900000000000004</v>
      </c>
      <c r="E17" s="11">
        <v>0.55000000000000004</v>
      </c>
      <c r="F17" s="11">
        <v>0.58699999999999997</v>
      </c>
      <c r="G17" s="16"/>
    </row>
    <row r="18" spans="2:7" x14ac:dyDescent="0.2">
      <c r="B18" s="20" t="s">
        <v>18</v>
      </c>
      <c r="C18" s="5">
        <v>0.02</v>
      </c>
      <c r="D18" s="5">
        <v>0.44600000000000001</v>
      </c>
      <c r="E18" s="5">
        <v>0.44800000000000001</v>
      </c>
      <c r="F18" s="5">
        <v>0.48</v>
      </c>
      <c r="G18" s="17"/>
    </row>
    <row r="19" spans="2:7" x14ac:dyDescent="0.2">
      <c r="B19" t="s">
        <v>2</v>
      </c>
      <c r="C19" s="7">
        <v>0.01</v>
      </c>
      <c r="D19" s="4">
        <v>0.495</v>
      </c>
      <c r="E19" s="4">
        <v>0.497</v>
      </c>
      <c r="F19" s="4">
        <v>0.51200000000000001</v>
      </c>
      <c r="G19" s="18" cm="1">
        <f t="array" ref="G19">SUMPRODUCT(($D$18:$F$18-D19:F19)/$D$18:$F$18)/COLUMNS($D$18:$F$18)</f>
        <v>-9.5302379172894858E-2</v>
      </c>
    </row>
    <row r="20" spans="2:7" x14ac:dyDescent="0.2">
      <c r="B20" t="s">
        <v>7</v>
      </c>
      <c r="C20" s="4">
        <v>8.9999999999999993E-3</v>
      </c>
      <c r="D20" s="8">
        <v>0.51900000000000002</v>
      </c>
      <c r="E20" s="8">
        <v>0.52</v>
      </c>
      <c r="F20" s="8">
        <v>0.53600000000000003</v>
      </c>
      <c r="G20" s="18" cm="1">
        <f t="array" ref="G20">SUMPRODUCT(($D$18:$F$18-D20:F20)/$D$18:$F$18)/COLUMNS($D$18:$F$18)</f>
        <v>-0.14701936080859854</v>
      </c>
    </row>
    <row r="21" spans="2:7" x14ac:dyDescent="0.2">
      <c r="B21" t="s">
        <v>8</v>
      </c>
      <c r="C21" s="8">
        <v>2.5999999999999999E-2</v>
      </c>
      <c r="D21" s="9">
        <v>0.435</v>
      </c>
      <c r="E21" s="9">
        <v>0.438</v>
      </c>
      <c r="F21" s="4">
        <v>0.47799999999999998</v>
      </c>
      <c r="G21" s="19" cm="1">
        <f t="array" ref="G21">SUMPRODUCT(($D$18:$F$18-D21:F21)/$D$18:$F$18)/COLUMNS($D$18:$F$18)</f>
        <v>1.7050590789380041E-2</v>
      </c>
    </row>
    <row r="22" spans="2:7" x14ac:dyDescent="0.2">
      <c r="B22" t="s">
        <v>9</v>
      </c>
      <c r="C22" s="4">
        <v>2.1000000000000001E-2</v>
      </c>
      <c r="D22" s="4">
        <v>0.45</v>
      </c>
      <c r="E22" s="4">
        <v>0.45400000000000001</v>
      </c>
      <c r="F22" s="4">
        <v>0.48799999999999999</v>
      </c>
      <c r="G22" s="18" cm="1">
        <f t="array" ref="G22">SUMPRODUCT(($D$18:$F$18-D22:F22)/$D$18:$F$18)/COLUMNS($D$18:$F$18)</f>
        <v>-1.3009377891664899E-2</v>
      </c>
    </row>
    <row r="23" spans="2:7" x14ac:dyDescent="0.2">
      <c r="B23" t="s">
        <v>16</v>
      </c>
      <c r="C23" s="4">
        <v>1.4200000000000001E-2</v>
      </c>
      <c r="D23" s="4">
        <v>0.45</v>
      </c>
      <c r="E23" s="4">
        <v>0.46600000000000003</v>
      </c>
      <c r="F23" s="4">
        <v>0.47499999999999998</v>
      </c>
      <c r="G23" s="18" cm="1">
        <f t="array" ref="G23">SUMPRODUCT(($D$18:$F$18-D23:F23)/$D$18:$F$18)/COLUMNS($D$18:$F$18)</f>
        <v>-1.291017154245855E-2</v>
      </c>
    </row>
    <row r="24" spans="2:7" x14ac:dyDescent="0.2">
      <c r="B24" t="s">
        <v>17</v>
      </c>
      <c r="C24" s="9">
        <v>7.0000000000000001E-3</v>
      </c>
      <c r="D24" s="9">
        <v>0.435</v>
      </c>
      <c r="E24" s="9">
        <v>0.438</v>
      </c>
      <c r="F24" s="9">
        <v>0.45</v>
      </c>
      <c r="G24" s="19" cm="1">
        <f t="array" ref="G24">SUMPRODUCT(($D$18:$F$18-D24:F24)/$D$18:$F$18)/COLUMNS($D$18:$F$18)</f>
        <v>3.6495035233824469E-2</v>
      </c>
    </row>
  </sheetData>
  <pageMargins left="0.7" right="0.7" top="0.75" bottom="0.75" header="0.3" footer="0.3"/>
  <ignoredErrors>
    <ignoredError sqref="G19:G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Gauthier bassereau</dc:creator>
  <cp:lastModifiedBy>Gauthier bassereau</cp:lastModifiedBy>
  <dcterms:created xsi:type="dcterms:W3CDTF">2026-06-20T12:18:24Z</dcterms:created>
  <dcterms:modified xsi:type="dcterms:W3CDTF">2026-06-21T12:03:52Z</dcterms:modified>
</cp:coreProperties>
</file>